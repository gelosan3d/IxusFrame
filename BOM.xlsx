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VlogLight\.GitHub\VlogLight\"/>
    </mc:Choice>
  </mc:AlternateContent>
  <xr:revisionPtr revIDLastSave="0" documentId="13_ncr:1_{AF13A634-6793-431C-860C-CA1CAE12C2B6}" xr6:coauthVersionLast="47" xr6:coauthVersionMax="47" xr10:uidLastSave="{00000000-0000-0000-0000-000000000000}"/>
  <bookViews>
    <workbookView xWindow="-108" yWindow="-108" windowWidth="23256" windowHeight="13176" xr2:uid="{F4589288-FA03-4A2E-B0B1-310BA36E2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4" i="1"/>
  <c r="G2" i="1"/>
  <c r="G3" i="1"/>
  <c r="G5" i="1"/>
  <c r="G6" i="1"/>
  <c r="G7" i="1"/>
  <c r="G8" i="1"/>
  <c r="C9" i="1"/>
  <c r="G9" i="1"/>
</calcChain>
</file>

<file path=xl/sharedStrings.xml><?xml version="1.0" encoding="utf-8"?>
<sst xmlns="http://schemas.openxmlformats.org/spreadsheetml/2006/main" count="19" uniqueCount="19">
  <si>
    <t>Part Name</t>
  </si>
  <si>
    <t>Qty</t>
  </si>
  <si>
    <t>Manufacturer</t>
  </si>
  <si>
    <t>Mfg Part #</t>
  </si>
  <si>
    <t>Description</t>
  </si>
  <si>
    <t>Unit Price</t>
  </si>
  <si>
    <t>URL</t>
  </si>
  <si>
    <t>LED RGBW 5050</t>
  </si>
  <si>
    <t>RGBW LED</t>
  </si>
  <si>
    <t>https://item.taobao.com/item.htm?id=621253827264</t>
  </si>
  <si>
    <t>5050RGBW-6000</t>
  </si>
  <si>
    <t>发光管专业销售</t>
  </si>
  <si>
    <t>1/4-20 Heat Set Inserts</t>
  </si>
  <si>
    <t>Part Price</t>
  </si>
  <si>
    <t xml:space="preserve">Totals: </t>
  </si>
  <si>
    <t>Raspberry Pi SuperMini RP2040(2M)</t>
  </si>
  <si>
    <t>nologo.tech</t>
  </si>
  <si>
    <t>https://www.nologo.tech/product/raspberrypie/RP2040/RP2040SuperMini.html</t>
  </si>
  <si>
    <t>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</si>
</sst>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CNY]\ * #,##0.00_-;\-[$CNY]\ * #,##0.00_-;_-[$CNY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0" xfId="0" applyBorder="1"/>
    <xf numFmtId="0" fontId="2" fillId="0" borderId="0" xfId="0" applyFont="1" applyBorder="1"/>
    <xf numFmtId="164" fontId="0" fillId="0" borderId="0" xfId="1" applyNumberFormat="1" applyFont="1" applyBorder="1"/>
    <xf numFmtId="164" fontId="0" fillId="0" borderId="0" xfId="0" applyNumberFormat="1" applyBorder="1"/>
  </cellXfs>
  <cellStyles count="2">
    <cellStyle name="Currency" xfId="1" builtinId="4"/>
    <cellStyle name="Normal" xfId="0" builtinId="0"/>
  </cellStyles>
  <dxfs count="2">
    <dxf>
      <numFmt numFmtId="164" formatCode="_-[$CNY]\ * #,##0.00_-;\-[$CNY]\ * #,##0.00_-;_-[$CNY]\ * &quot;-&quot;??_-;_-@_-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CD4E7-0254-4039-9077-1FD63005CA90}" name="Table1" displayName="Table1" ref="A1:H9" totalsRowShown="0" headerRowDxfId="1">
  <autoFilter ref="A1:H9" xr:uid="{A37CD4E7-0254-4039-9077-1FD63005CA90}"/>
  <tableColumns count="8">
    <tableColumn id="1" xr3:uid="{4E10F448-1871-4E27-8EA5-2BED9BF9F3D8}" name="Part Name"/>
    <tableColumn id="2" xr3:uid="{64061AC1-FAA3-467C-BB20-AE8647357249}" name="Description"/>
    <tableColumn id="3" xr3:uid="{E1928437-6B6D-4843-9D69-E1EDCA14B6ED}" name="Qty"/>
    <tableColumn id="4" xr3:uid="{A47E8865-4875-4CA6-9305-D0F862769BC6}" name="Manufacturer"/>
    <tableColumn id="5" xr3:uid="{5EAA2BE4-4459-499A-837F-F66613C8A667}" name="Mfg Part #"/>
    <tableColumn id="6" xr3:uid="{E5FFCBAA-6FED-4FFF-B1D8-308B16A72718}" name="Unit Price"/>
    <tableColumn id="9" xr3:uid="{6B37321F-24DC-4A8C-923F-9E6E7B99E133}" name="Part Price" dataDxfId="0">
      <calculatedColumnFormula>Table1[[#This Row],[Unit Price]]*Table1[[#This Row],[Qty]]</calculatedColumnFormula>
    </tableColumn>
    <tableColumn id="7" xr3:uid="{4041E0A6-1825-4CA3-99AB-6AC108B9FE82}" name="URL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F55B-A57E-42BD-BA27-B4409A683B5D}">
  <dimension ref="A1:I23"/>
  <sheetViews>
    <sheetView tabSelected="1" workbookViewId="0">
      <selection activeCell="A16" sqref="A16"/>
    </sheetView>
  </sheetViews>
  <sheetFormatPr defaultRowHeight="14.4" x14ac:dyDescent="0.3"/>
  <cols>
    <col min="1" max="1" width="39.44140625" customWidth="1"/>
    <col min="2" max="2" width="30" customWidth="1"/>
    <col min="3" max="3" width="6.109375" bestFit="1" customWidth="1"/>
    <col min="4" max="4" width="19.6640625" customWidth="1"/>
    <col min="5" max="5" width="16.109375" customWidth="1"/>
    <col min="6" max="7" width="11" customWidth="1"/>
    <col min="8" max="8" width="65.88671875" bestFit="1" customWidth="1"/>
    <col min="9" max="9" width="13.88671875" customWidth="1"/>
  </cols>
  <sheetData>
    <row r="1" spans="1:9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13</v>
      </c>
      <c r="H1" s="1" t="s">
        <v>6</v>
      </c>
      <c r="I1" s="1"/>
    </row>
    <row r="2" spans="1:9" x14ac:dyDescent="0.3">
      <c r="A2" t="s">
        <v>7</v>
      </c>
      <c r="B2" t="s">
        <v>8</v>
      </c>
      <c r="C2">
        <v>20</v>
      </c>
      <c r="D2" t="s">
        <v>11</v>
      </c>
      <c r="E2" t="s">
        <v>10</v>
      </c>
      <c r="F2" s="2">
        <v>0.25</v>
      </c>
      <c r="G2" s="2">
        <f>Table1[[#This Row],[Unit Price]]*Table1[[#This Row],[Qty]]</f>
        <v>5</v>
      </c>
      <c r="H2" t="s">
        <v>9</v>
      </c>
      <c r="I2" s="3"/>
    </row>
    <row r="3" spans="1:9" x14ac:dyDescent="0.3">
      <c r="A3" t="s">
        <v>12</v>
      </c>
      <c r="C3">
        <v>2</v>
      </c>
      <c r="F3" s="2">
        <f>1.89/10</f>
        <v>0.189</v>
      </c>
      <c r="G3" s="3">
        <f>Table1[[#This Row],[Unit Price]]*Table1[[#This Row],[Qty]]</f>
        <v>0.378</v>
      </c>
      <c r="I3" s="3"/>
    </row>
    <row r="4" spans="1:9" x14ac:dyDescent="0.3">
      <c r="A4" t="s">
        <v>15</v>
      </c>
      <c r="B4" t="s">
        <v>18</v>
      </c>
      <c r="C4">
        <v>1</v>
      </c>
      <c r="D4" t="s">
        <v>16</v>
      </c>
      <c r="F4" s="2">
        <v>16.8</v>
      </c>
      <c r="G4" s="3">
        <f>Table1[[#This Row],[Unit Price]]*Table1[[#This Row],[Qty]]</f>
        <v>16.8</v>
      </c>
      <c r="H4" t="s">
        <v>17</v>
      </c>
      <c r="I4" s="3"/>
    </row>
    <row r="5" spans="1:9" x14ac:dyDescent="0.3">
      <c r="F5" s="2"/>
      <c r="G5" s="3">
        <f>Table1[[#This Row],[Unit Price]]*Table1[[#This Row],[Qty]]</f>
        <v>0</v>
      </c>
      <c r="I5" s="3"/>
    </row>
    <row r="6" spans="1:9" x14ac:dyDescent="0.3">
      <c r="F6" s="2"/>
      <c r="G6" s="3">
        <f>Table1[[#This Row],[Unit Price]]*Table1[[#This Row],[Qty]]</f>
        <v>0</v>
      </c>
      <c r="I6" s="3"/>
    </row>
    <row r="7" spans="1:9" x14ac:dyDescent="0.3">
      <c r="F7" s="2"/>
      <c r="G7" s="3">
        <f>Table1[[#This Row],[Unit Price]]*Table1[[#This Row],[Qty]]</f>
        <v>0</v>
      </c>
      <c r="I7" s="3"/>
    </row>
    <row r="8" spans="1:9" x14ac:dyDescent="0.3">
      <c r="F8" s="2"/>
      <c r="G8" s="3">
        <f>Table1[[#This Row],[Unit Price]]*Table1[[#This Row],[Qty]]</f>
        <v>0</v>
      </c>
      <c r="I8" s="3"/>
    </row>
    <row r="9" spans="1:9" x14ac:dyDescent="0.3">
      <c r="A9" s="4" t="s">
        <v>14</v>
      </c>
      <c r="C9">
        <f ca="1">SUM(C2:C16)</f>
        <v>23</v>
      </c>
      <c r="F9" s="6"/>
      <c r="G9" s="3">
        <f ca="1">SUM(G2:G16)</f>
        <v>22.178000000000001</v>
      </c>
    </row>
    <row r="10" spans="1:9" x14ac:dyDescent="0.3">
      <c r="F10" s="2"/>
      <c r="G10" s="3"/>
      <c r="I10" s="3"/>
    </row>
    <row r="11" spans="1:9" x14ac:dyDescent="0.3">
      <c r="F11" s="2"/>
      <c r="G11" s="3"/>
      <c r="I11" s="3"/>
    </row>
    <row r="12" spans="1:9" x14ac:dyDescent="0.3">
      <c r="F12" s="2"/>
      <c r="G12" s="3"/>
      <c r="I12" s="3"/>
    </row>
    <row r="13" spans="1:9" x14ac:dyDescent="0.3">
      <c r="F13" s="2"/>
      <c r="G13" s="3"/>
      <c r="I13" s="3"/>
    </row>
    <row r="14" spans="1:9" x14ac:dyDescent="0.3">
      <c r="B14" s="5"/>
      <c r="C14" s="5"/>
      <c r="D14" s="5"/>
      <c r="E14" s="5"/>
      <c r="F14" s="7"/>
      <c r="G14" s="8"/>
      <c r="H14" s="5"/>
      <c r="I14" s="3"/>
    </row>
    <row r="15" spans="1:9" x14ac:dyDescent="0.3">
      <c r="B15" s="5"/>
      <c r="C15" s="5"/>
      <c r="D15" s="5"/>
      <c r="E15" s="5"/>
      <c r="F15" s="7"/>
      <c r="G15" s="8"/>
      <c r="H15" s="5"/>
      <c r="I15" s="3"/>
    </row>
    <row r="16" spans="1:9" x14ac:dyDescent="0.3">
      <c r="B16" s="5"/>
      <c r="C16" s="5"/>
      <c r="D16" s="5"/>
      <c r="E16" s="5"/>
      <c r="F16" s="7"/>
      <c r="G16" s="8"/>
      <c r="H16" s="5"/>
      <c r="I16" s="3"/>
    </row>
    <row r="17" spans="2:8" x14ac:dyDescent="0.3">
      <c r="B17" s="5"/>
      <c r="C17" s="5"/>
      <c r="D17" s="5"/>
      <c r="E17" s="5"/>
      <c r="F17" s="5"/>
      <c r="G17" s="5"/>
      <c r="H17" s="5"/>
    </row>
    <row r="18" spans="2:8" x14ac:dyDescent="0.3">
      <c r="B18" s="5"/>
      <c r="C18" s="5"/>
      <c r="D18" s="5"/>
      <c r="E18" s="5"/>
      <c r="F18" s="5"/>
      <c r="G18" s="5"/>
      <c r="H18" s="5"/>
    </row>
    <row r="19" spans="2:8" x14ac:dyDescent="0.3">
      <c r="B19" s="5"/>
      <c r="C19" s="5"/>
      <c r="D19" s="5"/>
      <c r="E19" s="5"/>
      <c r="F19" s="5"/>
      <c r="G19" s="5"/>
      <c r="H19" s="5"/>
    </row>
    <row r="20" spans="2:8" x14ac:dyDescent="0.3">
      <c r="B20" s="5"/>
      <c r="C20" s="5"/>
      <c r="D20" s="5"/>
      <c r="E20" s="5"/>
      <c r="F20" s="5"/>
      <c r="G20" s="5"/>
      <c r="H20" s="5"/>
    </row>
    <row r="21" spans="2:8" x14ac:dyDescent="0.3">
      <c r="B21" s="5"/>
      <c r="C21" s="5"/>
      <c r="D21" s="5"/>
      <c r="E21" s="5"/>
      <c r="F21" s="5"/>
      <c r="G21" s="5"/>
      <c r="H21" s="5"/>
    </row>
    <row r="22" spans="2:8" x14ac:dyDescent="0.3">
      <c r="B22" s="5"/>
      <c r="C22" s="5"/>
      <c r="D22" s="5"/>
      <c r="E22" s="5"/>
      <c r="F22" s="5"/>
      <c r="G22" s="5"/>
      <c r="H22" s="5"/>
    </row>
    <row r="23" spans="2:8" x14ac:dyDescent="0.3">
      <c r="B23" s="5"/>
      <c r="C23" s="5"/>
      <c r="D23" s="5"/>
      <c r="E23" s="5"/>
      <c r="F23" s="5"/>
      <c r="G23" s="5"/>
      <c r="H23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Angelos Maroulis</dc:creator>
  <cp:lastModifiedBy>Angelos Maroulis</cp:lastModifiedBy>
  <dcterms:created xsi:type="dcterms:W3CDTF">2026-01-01T09:21:26Z</dcterms:created>
  <dcterms:modified xsi:type="dcterms:W3CDTF">2026-01-01T12:37:49Z</dcterms:modified>
</cp:coreProperties>
</file>